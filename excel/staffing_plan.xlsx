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urqa\Documents\rossmann-demand-forecast\excel\"/>
    </mc:Choice>
  </mc:AlternateContent>
  <xr:revisionPtr revIDLastSave="0" documentId="13_ncr:1_{5ECCDCE3-DCBD-47A9-A8A6-00E1A5CEB15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taffing Plan" sheetId="1" r:id="rId1"/>
    <sheet name="Forecast Detail" sheetId="2" r:id="rId2"/>
    <sheet name="How It Works" sheetId="3" r:id="rId3"/>
  </sheets>
  <definedNames>
    <definedName name="solver_adj" localSheetId="0" hidden="1">'Staffing Plan'!$B$40:$G$45,'Staffing Plan'!$B$49:$G$54</definedName>
    <definedName name="solver_eng" localSheetId="0" hidden="1">2</definedName>
    <definedName name="solver_lhs1" localSheetId="0" hidden="1">'Staffing Plan'!$B$58:$G$63</definedName>
    <definedName name="solver_lhs2" localSheetId="0" hidden="1">'Staffing Plan'!$B$40:$G$45</definedName>
    <definedName name="solver_lhs3" localSheetId="0" hidden="1">'Staffing Plan'!$B$49:$G$54</definedName>
    <definedName name="solver_neg" localSheetId="0" hidden="1">1</definedName>
    <definedName name="solver_num" localSheetId="0" hidden="1">3</definedName>
    <definedName name="solver_opt" localSheetId="0" hidden="1">'Staffing Plan'!$C$77</definedName>
    <definedName name="solver_rel1" localSheetId="0" hidden="1">3</definedName>
    <definedName name="solver_rel2" localSheetId="0" hidden="1">4</definedName>
    <definedName name="solver_rel3" localSheetId="0" hidden="1">4</definedName>
    <definedName name="solver_rhs1" localSheetId="0" hidden="1">'Staffing Plan'!$B$31:$G$36</definedName>
    <definedName name="solver_rhs2" localSheetId="0" hidden="1">"integer"</definedName>
    <definedName name="solver_rhs3" localSheetId="0" hidden="1">"integer"</definedName>
    <definedName name="solver_tol" localSheetId="0" hidden="1">0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1" l="1"/>
  <c r="C75" i="1"/>
  <c r="G63" i="1"/>
  <c r="F63" i="1"/>
  <c r="E63" i="1"/>
  <c r="D63" i="1"/>
  <c r="C63" i="1"/>
  <c r="B63" i="1"/>
  <c r="G62" i="1"/>
  <c r="F62" i="1"/>
  <c r="E62" i="1"/>
  <c r="D62" i="1"/>
  <c r="D71" i="1" s="1"/>
  <c r="C62" i="1"/>
  <c r="C71" i="1" s="1"/>
  <c r="B62" i="1"/>
  <c r="B71" i="1" s="1"/>
  <c r="G61" i="1"/>
  <c r="G70" i="1" s="1"/>
  <c r="F61" i="1"/>
  <c r="F70" i="1" s="1"/>
  <c r="E61" i="1"/>
  <c r="E70" i="1" s="1"/>
  <c r="D61" i="1"/>
  <c r="D70" i="1" s="1"/>
  <c r="C61" i="1"/>
  <c r="C70" i="1" s="1"/>
  <c r="B61" i="1"/>
  <c r="B70" i="1" s="1"/>
  <c r="G60" i="1"/>
  <c r="G69" i="1" s="1"/>
  <c r="F60" i="1"/>
  <c r="F69" i="1" s="1"/>
  <c r="E60" i="1"/>
  <c r="E69" i="1" s="1"/>
  <c r="D60" i="1"/>
  <c r="D69" i="1" s="1"/>
  <c r="C60" i="1"/>
  <c r="C69" i="1" s="1"/>
  <c r="B60" i="1"/>
  <c r="B69" i="1" s="1"/>
  <c r="G59" i="1"/>
  <c r="G68" i="1" s="1"/>
  <c r="F59" i="1"/>
  <c r="F68" i="1" s="1"/>
  <c r="E59" i="1"/>
  <c r="E68" i="1" s="1"/>
  <c r="D59" i="1"/>
  <c r="D68" i="1" s="1"/>
  <c r="C59" i="1"/>
  <c r="C68" i="1" s="1"/>
  <c r="B59" i="1"/>
  <c r="B68" i="1" s="1"/>
  <c r="G58" i="1"/>
  <c r="G67" i="1" s="1"/>
  <c r="F58" i="1"/>
  <c r="F67" i="1" s="1"/>
  <c r="E58" i="1"/>
  <c r="E67" i="1" s="1"/>
  <c r="D58" i="1"/>
  <c r="D67" i="1" s="1"/>
  <c r="C58" i="1"/>
  <c r="C67" i="1" s="1"/>
  <c r="B58" i="1"/>
  <c r="B67" i="1" s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F71" i="1" l="1"/>
  <c r="E71" i="1"/>
  <c r="C77" i="1"/>
  <c r="C80" i="1" s="1"/>
  <c r="F72" i="1"/>
  <c r="C72" i="1"/>
  <c r="E72" i="1"/>
  <c r="B72" i="1"/>
  <c r="D72" i="1"/>
  <c r="G72" i="1"/>
  <c r="G71" i="1"/>
</calcChain>
</file>

<file path=xl/sharedStrings.xml><?xml version="1.0" encoding="utf-8"?>
<sst xmlns="http://schemas.openxmlformats.org/spreadsheetml/2006/main" count="199" uniqueCount="62">
  <si>
    <t>Store 929: 6-week staffing plan (Mon 03 Aug to Sat 12 Sep 2015)</t>
  </si>
  <si>
    <t>Blue = assumptions you can change. Yellow = Solver decides. Green = result. Data &gt; Solver &gt; Solve to re-optimize.</t>
  </si>
  <si>
    <t>Assumptions</t>
  </si>
  <si>
    <t>Customers one employee serves per 8-hour shift</t>
  </si>
  <si>
    <t>Safety buffer for forecast error</t>
  </si>
  <si>
    <t>Minimum staff on duty when open</t>
  </si>
  <si>
    <t>Full-time employee, cost per week (5 shifts)</t>
  </si>
  <si>
    <t>Part-time shift cost</t>
  </si>
  <si>
    <t>Forecast customers (from the LightGBM model)</t>
  </si>
  <si>
    <t>Mon</t>
  </si>
  <si>
    <t>Tue</t>
  </si>
  <si>
    <t>Wed</t>
  </si>
  <si>
    <t>Thu</t>
  </si>
  <si>
    <t>Fri</t>
  </si>
  <si>
    <t>Sat</t>
  </si>
  <si>
    <t>Week of 03 Aug</t>
  </si>
  <si>
    <t>Week of 10 Aug</t>
  </si>
  <si>
    <t>Week of 17 Aug</t>
  </si>
  <si>
    <t>Week of 24 Aug</t>
  </si>
  <si>
    <t>Week of 31 Aug</t>
  </si>
  <si>
    <t>Week of 07 Sep</t>
  </si>
  <si>
    <t>Store open (1 = yes)</t>
  </si>
  <si>
    <t>Staff required</t>
  </si>
  <si>
    <t>DECISION: full-time employees by day off</t>
  </si>
  <si>
    <t>Off Mon</t>
  </si>
  <si>
    <t>Off Tue</t>
  </si>
  <si>
    <t>Off Wed</t>
  </si>
  <si>
    <t>Off Thu</t>
  </si>
  <si>
    <t>Off Fri</t>
  </si>
  <si>
    <t>Off Sat</t>
  </si>
  <si>
    <t>DECISION: part-time shifts</t>
  </si>
  <si>
    <t>Staff on duty</t>
  </si>
  <si>
    <t>Spare staff (on duty minus required)</t>
  </si>
  <si>
    <t>Cost (6 weeks)</t>
  </si>
  <si>
    <t>Full-time cost</t>
  </si>
  <si>
    <t>Part-time cost</t>
  </si>
  <si>
    <t>TOTAL LABOR COST (Solver minimizes this)</t>
  </si>
  <si>
    <t>Flat plan: staff every open day for the busiest day</t>
  </si>
  <si>
    <t>Saved by the optimized plan</t>
  </si>
  <si>
    <t>Date</t>
  </si>
  <si>
    <t>Weekday</t>
  </si>
  <si>
    <t>Open</t>
  </si>
  <si>
    <t>Promo</t>
  </si>
  <si>
    <t>State holiday</t>
  </si>
  <si>
    <t>Forecast sales (EUR)</t>
  </si>
  <si>
    <t>Forecast customers</t>
  </si>
  <si>
    <t>0</t>
  </si>
  <si>
    <t>How this model works</t>
  </si>
  <si>
    <t>Goal: schedule enough staff for forecast customer traffic at the lowest wage cost.</t>
  </si>
  <si>
    <t>Staff required = forecast customers x (1 + safety buffer) / customers per employee, rounded up, minimum crew when open.</t>
  </si>
  <si>
    <t>Full-time employees work 5 of the 6 days (Mon-Sat), with one day off per week. Each yellow cell in the full-time</t>
  </si>
  <si>
    <t>block is how many full-timers take that day off that week, so on-duty full-timers = week total minus that day's cell.</t>
  </si>
  <si>
    <t>Part-time shifts can be booked for any single day but cost more per hour than full-time.</t>
  </si>
  <si>
    <t>Solver setup (already saved in this workbook: Data &gt; Solver &gt; Solve):</t>
  </si>
  <si>
    <t xml:space="preserve">  Set objective: $C$77 (total labor cost), To: Min</t>
  </si>
  <si>
    <t xml:space="preserve">  By changing: $B$40:$G$45, $B$49:$G$54</t>
  </si>
  <si>
    <t xml:space="preserve">  Subject to: $B$58:$G$63 &gt;= $B$31:$G$36   (every day covered)</t>
  </si>
  <si>
    <t xml:space="preserve">              $B$40:$G$45 = integer, $B$49:$G$54 = integer</t>
  </si>
  <si>
    <t xml:space="preserve">  Make unconstrained variables non-negative: on</t>
  </si>
  <si>
    <t xml:space="preserve">  Solving method: Simplex LP</t>
  </si>
  <si>
    <t>If Data &gt; Solver is missing: File &gt; Options &gt; Add-ins &gt; Manage Excel Add-ins &gt; Go &gt; tick Solver Add-in.</t>
  </si>
  <si>
    <t>Try it: raise the safety buffer to 20% or the part-time cost to 170, then solve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</si>
</sst>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EUR&quot;"/>
    <numFmt numFmtId="165" formatCode="0.0%"/>
    <numFmt numFmtId="167" formatCode="ddd\ dd\ mmm\ yyyy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" fontId="0" fillId="2" borderId="1" xfId="0" applyNumberFormat="1" applyFill="1" applyBorder="1"/>
    <xf numFmtId="9" fontId="0" fillId="2" borderId="1" xfId="0" applyNumberFormat="1" applyFill="1" applyBorder="1"/>
    <xf numFmtId="164" fontId="0" fillId="2" borderId="1" xfId="0" applyNumberFormat="1" applyFill="1" applyBorder="1"/>
    <xf numFmtId="0" fontId="2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4" fontId="0" fillId="0" borderId="1" xfId="0" applyNumberFormat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/>
    <xf numFmtId="167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50" customWidth="1"/>
    <col min="2" max="2" width="10" customWidth="1"/>
    <col min="3" max="3" width="12" customWidth="1"/>
    <col min="4" max="7" width="10" customWidth="1"/>
  </cols>
  <sheetData>
    <row r="1" spans="1:7" ht="18" x14ac:dyDescent="0.55000000000000004">
      <c r="A1" s="1" t="s">
        <v>0</v>
      </c>
    </row>
    <row r="2" spans="1:7" x14ac:dyDescent="0.45">
      <c r="A2" t="s">
        <v>1</v>
      </c>
    </row>
    <row r="4" spans="1:7" x14ac:dyDescent="0.45">
      <c r="A4" s="2" t="s">
        <v>2</v>
      </c>
    </row>
    <row r="5" spans="1:7" x14ac:dyDescent="0.45">
      <c r="A5" t="s">
        <v>3</v>
      </c>
      <c r="C5" s="3">
        <v>120</v>
      </c>
    </row>
    <row r="6" spans="1:7" x14ac:dyDescent="0.45">
      <c r="A6" t="s">
        <v>4</v>
      </c>
      <c r="C6" s="4">
        <v>0.1</v>
      </c>
    </row>
    <row r="7" spans="1:7" x14ac:dyDescent="0.45">
      <c r="A7" t="s">
        <v>5</v>
      </c>
      <c r="C7" s="3">
        <v>3</v>
      </c>
    </row>
    <row r="8" spans="1:7" x14ac:dyDescent="0.45">
      <c r="A8" t="s">
        <v>6</v>
      </c>
      <c r="C8" s="5">
        <v>640</v>
      </c>
    </row>
    <row r="9" spans="1:7" x14ac:dyDescent="0.45">
      <c r="A9" t="s">
        <v>7</v>
      </c>
      <c r="C9" s="5">
        <v>152</v>
      </c>
    </row>
    <row r="11" spans="1:7" x14ac:dyDescent="0.45">
      <c r="A11" s="2" t="s">
        <v>8</v>
      </c>
    </row>
    <row r="12" spans="1:7" x14ac:dyDescent="0.45">
      <c r="B12" s="6" t="s">
        <v>9</v>
      </c>
      <c r="C12" s="6" t="s">
        <v>10</v>
      </c>
      <c r="D12" s="6" t="s">
        <v>11</v>
      </c>
      <c r="E12" s="6" t="s">
        <v>12</v>
      </c>
      <c r="F12" s="6" t="s">
        <v>13</v>
      </c>
      <c r="G12" s="6" t="s">
        <v>14</v>
      </c>
    </row>
    <row r="13" spans="1:7" x14ac:dyDescent="0.45">
      <c r="A13" t="s">
        <v>15</v>
      </c>
      <c r="B13" s="7">
        <v>831</v>
      </c>
      <c r="C13" s="7">
        <v>720</v>
      </c>
      <c r="D13" s="7">
        <v>687</v>
      </c>
      <c r="E13" s="7">
        <v>691</v>
      </c>
      <c r="F13" s="7">
        <v>694</v>
      </c>
      <c r="G13" s="7">
        <v>524</v>
      </c>
    </row>
    <row r="14" spans="1:7" x14ac:dyDescent="0.45">
      <c r="A14" t="s">
        <v>16</v>
      </c>
      <c r="B14" s="7">
        <v>710</v>
      </c>
      <c r="C14" s="7">
        <v>651</v>
      </c>
      <c r="D14" s="7">
        <v>633</v>
      </c>
      <c r="E14" s="7">
        <v>644</v>
      </c>
      <c r="F14" s="7">
        <v>646</v>
      </c>
      <c r="G14" s="7">
        <v>519</v>
      </c>
    </row>
    <row r="15" spans="1:7" x14ac:dyDescent="0.45">
      <c r="A15" t="s">
        <v>17</v>
      </c>
      <c r="B15" s="7">
        <v>843</v>
      </c>
      <c r="C15" s="7">
        <v>737</v>
      </c>
      <c r="D15" s="7">
        <v>689</v>
      </c>
      <c r="E15" s="7">
        <v>687</v>
      </c>
      <c r="F15" s="7">
        <v>690</v>
      </c>
      <c r="G15" s="7">
        <v>524</v>
      </c>
    </row>
    <row r="16" spans="1:7" x14ac:dyDescent="0.45">
      <c r="A16" t="s">
        <v>18</v>
      </c>
      <c r="B16" s="7">
        <v>663</v>
      </c>
      <c r="C16" s="7">
        <v>627</v>
      </c>
      <c r="D16" s="7">
        <v>611</v>
      </c>
      <c r="E16" s="7">
        <v>621</v>
      </c>
      <c r="F16" s="7">
        <v>664</v>
      </c>
      <c r="G16" s="7">
        <v>554</v>
      </c>
    </row>
    <row r="17" spans="1:7" x14ac:dyDescent="0.45">
      <c r="A17" t="s">
        <v>19</v>
      </c>
      <c r="B17" s="7">
        <v>937</v>
      </c>
      <c r="C17" s="7">
        <v>829</v>
      </c>
      <c r="D17" s="7">
        <v>771</v>
      </c>
      <c r="E17" s="7">
        <v>746</v>
      </c>
      <c r="F17" s="7">
        <v>750</v>
      </c>
      <c r="G17" s="7">
        <v>530</v>
      </c>
    </row>
    <row r="18" spans="1:7" x14ac:dyDescent="0.45">
      <c r="A18" t="s">
        <v>20</v>
      </c>
      <c r="B18" s="7">
        <v>761</v>
      </c>
      <c r="C18" s="7">
        <v>698</v>
      </c>
      <c r="D18" s="7">
        <v>673</v>
      </c>
      <c r="E18" s="7">
        <v>680</v>
      </c>
      <c r="F18" s="7">
        <v>675</v>
      </c>
      <c r="G18" s="7">
        <v>528</v>
      </c>
    </row>
    <row r="20" spans="1:7" x14ac:dyDescent="0.45">
      <c r="A20" s="2" t="s">
        <v>21</v>
      </c>
    </row>
    <row r="21" spans="1:7" x14ac:dyDescent="0.45">
      <c r="B21" s="6" t="s">
        <v>9</v>
      </c>
      <c r="C21" s="6" t="s">
        <v>10</v>
      </c>
      <c r="D21" s="6" t="s">
        <v>11</v>
      </c>
      <c r="E21" s="6" t="s">
        <v>12</v>
      </c>
      <c r="F21" s="6" t="s">
        <v>13</v>
      </c>
      <c r="G21" s="6" t="s">
        <v>14</v>
      </c>
    </row>
    <row r="22" spans="1:7" x14ac:dyDescent="0.45">
      <c r="A22" t="s">
        <v>15</v>
      </c>
      <c r="B22" s="7">
        <v>1</v>
      </c>
      <c r="C22" s="7">
        <v>1</v>
      </c>
      <c r="D22" s="7">
        <v>1</v>
      </c>
      <c r="E22" s="7">
        <v>1</v>
      </c>
      <c r="F22" s="7">
        <v>1</v>
      </c>
      <c r="G22" s="7">
        <v>1</v>
      </c>
    </row>
    <row r="23" spans="1:7" x14ac:dyDescent="0.45">
      <c r="A23" t="s">
        <v>16</v>
      </c>
      <c r="B23" s="7">
        <v>1</v>
      </c>
      <c r="C23" s="7">
        <v>1</v>
      </c>
      <c r="D23" s="7">
        <v>1</v>
      </c>
      <c r="E23" s="7">
        <v>1</v>
      </c>
      <c r="F23" s="7">
        <v>1</v>
      </c>
      <c r="G23" s="7">
        <v>1</v>
      </c>
    </row>
    <row r="24" spans="1:7" x14ac:dyDescent="0.45">
      <c r="A24" t="s">
        <v>17</v>
      </c>
      <c r="B24" s="7">
        <v>1</v>
      </c>
      <c r="C24" s="7">
        <v>1</v>
      </c>
      <c r="D24" s="7">
        <v>1</v>
      </c>
      <c r="E24" s="7">
        <v>1</v>
      </c>
      <c r="F24" s="7">
        <v>1</v>
      </c>
      <c r="G24" s="7">
        <v>1</v>
      </c>
    </row>
    <row r="25" spans="1:7" x14ac:dyDescent="0.45">
      <c r="A25" t="s">
        <v>18</v>
      </c>
      <c r="B25" s="7">
        <v>1</v>
      </c>
      <c r="C25" s="7">
        <v>1</v>
      </c>
      <c r="D25" s="7">
        <v>1</v>
      </c>
      <c r="E25" s="7">
        <v>1</v>
      </c>
      <c r="F25" s="7">
        <v>1</v>
      </c>
      <c r="G25" s="7">
        <v>1</v>
      </c>
    </row>
    <row r="26" spans="1:7" x14ac:dyDescent="0.45">
      <c r="A26" t="s">
        <v>19</v>
      </c>
      <c r="B26" s="7">
        <v>1</v>
      </c>
      <c r="C26" s="7">
        <v>1</v>
      </c>
      <c r="D26" s="7">
        <v>1</v>
      </c>
      <c r="E26" s="7">
        <v>1</v>
      </c>
      <c r="F26" s="7">
        <v>1</v>
      </c>
      <c r="G26" s="7">
        <v>1</v>
      </c>
    </row>
    <row r="27" spans="1:7" x14ac:dyDescent="0.45">
      <c r="A27" t="s">
        <v>20</v>
      </c>
      <c r="B27" s="7">
        <v>1</v>
      </c>
      <c r="C27" s="7">
        <v>1</v>
      </c>
      <c r="D27" s="7">
        <v>1</v>
      </c>
      <c r="E27" s="7">
        <v>1</v>
      </c>
      <c r="F27" s="7">
        <v>1</v>
      </c>
      <c r="G27" s="7">
        <v>1</v>
      </c>
    </row>
    <row r="29" spans="1:7" x14ac:dyDescent="0.45">
      <c r="A29" s="2" t="s">
        <v>22</v>
      </c>
    </row>
    <row r="30" spans="1:7" x14ac:dyDescent="0.45">
      <c r="B30" s="6" t="s">
        <v>9</v>
      </c>
      <c r="C30" s="6" t="s">
        <v>10</v>
      </c>
      <c r="D30" s="6" t="s">
        <v>11</v>
      </c>
      <c r="E30" s="6" t="s">
        <v>12</v>
      </c>
      <c r="F30" s="6" t="s">
        <v>13</v>
      </c>
      <c r="G30" s="6" t="s">
        <v>14</v>
      </c>
    </row>
    <row r="31" spans="1:7" x14ac:dyDescent="0.45">
      <c r="A31" t="s">
        <v>15</v>
      </c>
      <c r="B31" s="7">
        <f t="shared" ref="B31:G36" si="0">IF(B22=1,MAX($C$7,ROUNDUP(B13*(1+$C$6)/$C$5,0)),0)</f>
        <v>8</v>
      </c>
      <c r="C31" s="7">
        <f t="shared" si="0"/>
        <v>7</v>
      </c>
      <c r="D31" s="7">
        <f t="shared" si="0"/>
        <v>7</v>
      </c>
      <c r="E31" s="7">
        <f t="shared" si="0"/>
        <v>7</v>
      </c>
      <c r="F31" s="7">
        <f t="shared" si="0"/>
        <v>7</v>
      </c>
      <c r="G31" s="7">
        <f t="shared" si="0"/>
        <v>5</v>
      </c>
    </row>
    <row r="32" spans="1:7" x14ac:dyDescent="0.45">
      <c r="A32" t="s">
        <v>16</v>
      </c>
      <c r="B32" s="7">
        <f t="shared" si="0"/>
        <v>7</v>
      </c>
      <c r="C32" s="7">
        <f t="shared" si="0"/>
        <v>6</v>
      </c>
      <c r="D32" s="7">
        <f t="shared" si="0"/>
        <v>6</v>
      </c>
      <c r="E32" s="7">
        <f t="shared" si="0"/>
        <v>6</v>
      </c>
      <c r="F32" s="7">
        <f t="shared" si="0"/>
        <v>6</v>
      </c>
      <c r="G32" s="7">
        <f t="shared" si="0"/>
        <v>5</v>
      </c>
    </row>
    <row r="33" spans="1:7" x14ac:dyDescent="0.45">
      <c r="A33" t="s">
        <v>17</v>
      </c>
      <c r="B33" s="7">
        <f t="shared" si="0"/>
        <v>8</v>
      </c>
      <c r="C33" s="7">
        <f t="shared" si="0"/>
        <v>7</v>
      </c>
      <c r="D33" s="7">
        <f t="shared" si="0"/>
        <v>7</v>
      </c>
      <c r="E33" s="7">
        <f t="shared" si="0"/>
        <v>7</v>
      </c>
      <c r="F33" s="7">
        <f t="shared" si="0"/>
        <v>7</v>
      </c>
      <c r="G33" s="7">
        <f t="shared" si="0"/>
        <v>5</v>
      </c>
    </row>
    <row r="34" spans="1:7" x14ac:dyDescent="0.45">
      <c r="A34" t="s">
        <v>18</v>
      </c>
      <c r="B34" s="7">
        <f t="shared" si="0"/>
        <v>7</v>
      </c>
      <c r="C34" s="7">
        <f t="shared" si="0"/>
        <v>6</v>
      </c>
      <c r="D34" s="7">
        <f t="shared" si="0"/>
        <v>6</v>
      </c>
      <c r="E34" s="7">
        <f t="shared" si="0"/>
        <v>6</v>
      </c>
      <c r="F34" s="7">
        <f t="shared" si="0"/>
        <v>7</v>
      </c>
      <c r="G34" s="7">
        <f t="shared" si="0"/>
        <v>6</v>
      </c>
    </row>
    <row r="35" spans="1:7" x14ac:dyDescent="0.45">
      <c r="A35" t="s">
        <v>19</v>
      </c>
      <c r="B35" s="7">
        <f t="shared" si="0"/>
        <v>9</v>
      </c>
      <c r="C35" s="7">
        <f t="shared" si="0"/>
        <v>8</v>
      </c>
      <c r="D35" s="7">
        <f t="shared" si="0"/>
        <v>8</v>
      </c>
      <c r="E35" s="7">
        <f t="shared" si="0"/>
        <v>7</v>
      </c>
      <c r="F35" s="7">
        <f t="shared" si="0"/>
        <v>7</v>
      </c>
      <c r="G35" s="7">
        <f t="shared" si="0"/>
        <v>5</v>
      </c>
    </row>
    <row r="36" spans="1:7" x14ac:dyDescent="0.45">
      <c r="A36" t="s">
        <v>20</v>
      </c>
      <c r="B36" s="7">
        <f t="shared" si="0"/>
        <v>7</v>
      </c>
      <c r="C36" s="7">
        <f t="shared" si="0"/>
        <v>7</v>
      </c>
      <c r="D36" s="7">
        <f t="shared" si="0"/>
        <v>7</v>
      </c>
      <c r="E36" s="7">
        <f t="shared" si="0"/>
        <v>7</v>
      </c>
      <c r="F36" s="7">
        <f t="shared" si="0"/>
        <v>7</v>
      </c>
      <c r="G36" s="7">
        <f t="shared" si="0"/>
        <v>5</v>
      </c>
    </row>
    <row r="38" spans="1:7" x14ac:dyDescent="0.45">
      <c r="A38" s="2" t="s">
        <v>23</v>
      </c>
    </row>
    <row r="39" spans="1:7" x14ac:dyDescent="0.45">
      <c r="B39" s="6" t="s">
        <v>24</v>
      </c>
      <c r="C39" s="6" t="s">
        <v>25</v>
      </c>
      <c r="D39" s="6" t="s">
        <v>26</v>
      </c>
      <c r="E39" s="6" t="s">
        <v>27</v>
      </c>
      <c r="F39" s="6" t="s">
        <v>28</v>
      </c>
      <c r="G39" s="6" t="s">
        <v>29</v>
      </c>
    </row>
    <row r="40" spans="1:7" x14ac:dyDescent="0.45">
      <c r="A40" t="s">
        <v>15</v>
      </c>
      <c r="B40" s="8">
        <v>1</v>
      </c>
      <c r="C40" s="8">
        <v>1</v>
      </c>
      <c r="D40" s="8">
        <v>1</v>
      </c>
      <c r="E40" s="8">
        <v>1</v>
      </c>
      <c r="F40" s="8">
        <v>1</v>
      </c>
      <c r="G40" s="8">
        <v>3</v>
      </c>
    </row>
    <row r="41" spans="1:7" x14ac:dyDescent="0.45">
      <c r="A41" t="s">
        <v>16</v>
      </c>
      <c r="B41" s="8">
        <v>1</v>
      </c>
      <c r="C41" s="8">
        <v>1</v>
      </c>
      <c r="D41" s="8">
        <v>1</v>
      </c>
      <c r="E41" s="8">
        <v>1</v>
      </c>
      <c r="F41" s="8">
        <v>1</v>
      </c>
      <c r="G41" s="8">
        <v>2</v>
      </c>
    </row>
    <row r="42" spans="1:7" x14ac:dyDescent="0.45">
      <c r="A42" t="s">
        <v>17</v>
      </c>
      <c r="B42" s="8">
        <v>1</v>
      </c>
      <c r="C42" s="8">
        <v>1</v>
      </c>
      <c r="D42" s="8">
        <v>1</v>
      </c>
      <c r="E42" s="8">
        <v>1</v>
      </c>
      <c r="F42" s="8">
        <v>1</v>
      </c>
      <c r="G42" s="8">
        <v>3</v>
      </c>
    </row>
    <row r="43" spans="1:7" x14ac:dyDescent="0.45">
      <c r="A43" t="s">
        <v>18</v>
      </c>
      <c r="B43" s="8">
        <v>1</v>
      </c>
      <c r="C43" s="8">
        <v>2</v>
      </c>
      <c r="D43" s="8">
        <v>2</v>
      </c>
      <c r="E43" s="8">
        <v>1</v>
      </c>
      <c r="F43" s="8">
        <v>0</v>
      </c>
      <c r="G43" s="8">
        <v>1</v>
      </c>
    </row>
    <row r="44" spans="1:7" x14ac:dyDescent="0.45">
      <c r="A44" t="s">
        <v>19</v>
      </c>
      <c r="B44" s="8">
        <v>0</v>
      </c>
      <c r="C44" s="8">
        <v>1</v>
      </c>
      <c r="D44" s="8">
        <v>1</v>
      </c>
      <c r="E44" s="8">
        <v>2</v>
      </c>
      <c r="F44" s="8">
        <v>1</v>
      </c>
      <c r="G44" s="8">
        <v>3</v>
      </c>
    </row>
    <row r="45" spans="1:7" x14ac:dyDescent="0.45">
      <c r="A45" t="s">
        <v>20</v>
      </c>
      <c r="B45" s="8">
        <v>1</v>
      </c>
      <c r="C45" s="8">
        <v>1</v>
      </c>
      <c r="D45" s="8">
        <v>1</v>
      </c>
      <c r="E45" s="8">
        <v>1</v>
      </c>
      <c r="F45" s="8">
        <v>1</v>
      </c>
      <c r="G45" s="8">
        <v>3</v>
      </c>
    </row>
    <row r="47" spans="1:7" x14ac:dyDescent="0.45">
      <c r="A47" s="2" t="s">
        <v>30</v>
      </c>
    </row>
    <row r="48" spans="1:7" x14ac:dyDescent="0.45">
      <c r="B48" s="6" t="s">
        <v>9</v>
      </c>
      <c r="C48" s="6" t="s">
        <v>10</v>
      </c>
      <c r="D48" s="6" t="s">
        <v>11</v>
      </c>
      <c r="E48" s="6" t="s">
        <v>12</v>
      </c>
      <c r="F48" s="6" t="s">
        <v>13</v>
      </c>
      <c r="G48" s="6" t="s">
        <v>14</v>
      </c>
    </row>
    <row r="49" spans="1:7" x14ac:dyDescent="0.45">
      <c r="A49" t="s">
        <v>15</v>
      </c>
      <c r="B49" s="8">
        <v>1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</row>
    <row r="50" spans="1:7" x14ac:dyDescent="0.45">
      <c r="A50" t="s">
        <v>16</v>
      </c>
      <c r="B50" s="8">
        <v>1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</row>
    <row r="51" spans="1:7" x14ac:dyDescent="0.45">
      <c r="A51" t="s">
        <v>17</v>
      </c>
      <c r="B51" s="8">
        <v>1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7" x14ac:dyDescent="0.45">
      <c r="A52" t="s">
        <v>18</v>
      </c>
      <c r="B52" s="8">
        <v>1</v>
      </c>
      <c r="C52" s="8">
        <v>1</v>
      </c>
      <c r="D52" s="8">
        <v>1</v>
      </c>
      <c r="E52" s="8">
        <v>0</v>
      </c>
      <c r="F52" s="8">
        <v>0</v>
      </c>
      <c r="G52" s="8">
        <v>0</v>
      </c>
    </row>
    <row r="53" spans="1:7" x14ac:dyDescent="0.45">
      <c r="A53" t="s">
        <v>19</v>
      </c>
      <c r="B53" s="8">
        <v>1</v>
      </c>
      <c r="C53" s="8">
        <v>1</v>
      </c>
      <c r="D53" s="8">
        <v>1</v>
      </c>
      <c r="E53" s="8">
        <v>1</v>
      </c>
      <c r="F53" s="8">
        <v>0</v>
      </c>
      <c r="G53" s="8">
        <v>0</v>
      </c>
    </row>
    <row r="54" spans="1:7" x14ac:dyDescent="0.45">
      <c r="A54" t="s">
        <v>20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6" spans="1:7" x14ac:dyDescent="0.45">
      <c r="A56" s="2" t="s">
        <v>31</v>
      </c>
    </row>
    <row r="57" spans="1:7" x14ac:dyDescent="0.45">
      <c r="B57" s="6" t="s">
        <v>9</v>
      </c>
      <c r="C57" s="6" t="s">
        <v>10</v>
      </c>
      <c r="D57" s="6" t="s">
        <v>11</v>
      </c>
      <c r="E57" s="6" t="s">
        <v>12</v>
      </c>
      <c r="F57" s="6" t="s">
        <v>13</v>
      </c>
      <c r="G57" s="6" t="s">
        <v>14</v>
      </c>
    </row>
    <row r="58" spans="1:7" x14ac:dyDescent="0.45">
      <c r="A58" t="s">
        <v>15</v>
      </c>
      <c r="B58" s="7">
        <f t="shared" ref="B58:G63" si="1">SUM($B40:$G40)-B40+B49</f>
        <v>8</v>
      </c>
      <c r="C58" s="7">
        <f t="shared" si="1"/>
        <v>7</v>
      </c>
      <c r="D58" s="7">
        <f t="shared" si="1"/>
        <v>7</v>
      </c>
      <c r="E58" s="7">
        <f t="shared" si="1"/>
        <v>7</v>
      </c>
      <c r="F58" s="7">
        <f t="shared" si="1"/>
        <v>7</v>
      </c>
      <c r="G58" s="7">
        <f t="shared" si="1"/>
        <v>5</v>
      </c>
    </row>
    <row r="59" spans="1:7" x14ac:dyDescent="0.45">
      <c r="A59" t="s">
        <v>16</v>
      </c>
      <c r="B59" s="7">
        <f t="shared" si="1"/>
        <v>7</v>
      </c>
      <c r="C59" s="7">
        <f t="shared" si="1"/>
        <v>6</v>
      </c>
      <c r="D59" s="7">
        <f t="shared" si="1"/>
        <v>6</v>
      </c>
      <c r="E59" s="7">
        <f t="shared" si="1"/>
        <v>6</v>
      </c>
      <c r="F59" s="7">
        <f t="shared" si="1"/>
        <v>6</v>
      </c>
      <c r="G59" s="7">
        <f t="shared" si="1"/>
        <v>5</v>
      </c>
    </row>
    <row r="60" spans="1:7" x14ac:dyDescent="0.45">
      <c r="A60" t="s">
        <v>17</v>
      </c>
      <c r="B60" s="7">
        <f t="shared" si="1"/>
        <v>8</v>
      </c>
      <c r="C60" s="7">
        <f t="shared" si="1"/>
        <v>7</v>
      </c>
      <c r="D60" s="7">
        <f t="shared" si="1"/>
        <v>7</v>
      </c>
      <c r="E60" s="7">
        <f t="shared" si="1"/>
        <v>7</v>
      </c>
      <c r="F60" s="7">
        <f t="shared" si="1"/>
        <v>7</v>
      </c>
      <c r="G60" s="7">
        <f t="shared" si="1"/>
        <v>5</v>
      </c>
    </row>
    <row r="61" spans="1:7" x14ac:dyDescent="0.45">
      <c r="A61" t="s">
        <v>18</v>
      </c>
      <c r="B61" s="7">
        <f t="shared" si="1"/>
        <v>7</v>
      </c>
      <c r="C61" s="7">
        <f t="shared" si="1"/>
        <v>6</v>
      </c>
      <c r="D61" s="7">
        <f t="shared" si="1"/>
        <v>6</v>
      </c>
      <c r="E61" s="7">
        <f t="shared" si="1"/>
        <v>6</v>
      </c>
      <c r="F61" s="7">
        <f t="shared" si="1"/>
        <v>7</v>
      </c>
      <c r="G61" s="7">
        <f t="shared" si="1"/>
        <v>6</v>
      </c>
    </row>
    <row r="62" spans="1:7" x14ac:dyDescent="0.45">
      <c r="A62" t="s">
        <v>19</v>
      </c>
      <c r="B62" s="7">
        <f t="shared" si="1"/>
        <v>9</v>
      </c>
      <c r="C62" s="7">
        <f t="shared" si="1"/>
        <v>8</v>
      </c>
      <c r="D62" s="7">
        <f t="shared" si="1"/>
        <v>8</v>
      </c>
      <c r="E62" s="7">
        <f t="shared" si="1"/>
        <v>7</v>
      </c>
      <c r="F62" s="7">
        <f t="shared" si="1"/>
        <v>7</v>
      </c>
      <c r="G62" s="7">
        <f t="shared" si="1"/>
        <v>5</v>
      </c>
    </row>
    <row r="63" spans="1:7" x14ac:dyDescent="0.45">
      <c r="A63" t="s">
        <v>20</v>
      </c>
      <c r="B63" s="7">
        <f t="shared" si="1"/>
        <v>7</v>
      </c>
      <c r="C63" s="7">
        <f t="shared" si="1"/>
        <v>7</v>
      </c>
      <c r="D63" s="7">
        <f t="shared" si="1"/>
        <v>7</v>
      </c>
      <c r="E63" s="7">
        <f t="shared" si="1"/>
        <v>7</v>
      </c>
      <c r="F63" s="7">
        <f t="shared" si="1"/>
        <v>7</v>
      </c>
      <c r="G63" s="7">
        <f t="shared" si="1"/>
        <v>5</v>
      </c>
    </row>
    <row r="65" spans="1:7" x14ac:dyDescent="0.45">
      <c r="A65" s="2" t="s">
        <v>32</v>
      </c>
    </row>
    <row r="66" spans="1:7" x14ac:dyDescent="0.45">
      <c r="B66" s="6" t="s">
        <v>9</v>
      </c>
      <c r="C66" s="6" t="s">
        <v>10</v>
      </c>
      <c r="D66" s="6" t="s">
        <v>11</v>
      </c>
      <c r="E66" s="6" t="s">
        <v>12</v>
      </c>
      <c r="F66" s="6" t="s">
        <v>13</v>
      </c>
      <c r="G66" s="6" t="s">
        <v>14</v>
      </c>
    </row>
    <row r="67" spans="1:7" x14ac:dyDescent="0.45">
      <c r="A67" t="s">
        <v>15</v>
      </c>
      <c r="B67" s="7">
        <f t="shared" ref="B67:G72" si="2">B58-B31</f>
        <v>0</v>
      </c>
      <c r="C67" s="7">
        <f t="shared" si="2"/>
        <v>0</v>
      </c>
      <c r="D67" s="7">
        <f t="shared" si="2"/>
        <v>0</v>
      </c>
      <c r="E67" s="7">
        <f t="shared" si="2"/>
        <v>0</v>
      </c>
      <c r="F67" s="7">
        <f t="shared" si="2"/>
        <v>0</v>
      </c>
      <c r="G67" s="7">
        <f t="shared" si="2"/>
        <v>0</v>
      </c>
    </row>
    <row r="68" spans="1:7" x14ac:dyDescent="0.45">
      <c r="A68" t="s">
        <v>16</v>
      </c>
      <c r="B68" s="7">
        <f t="shared" si="2"/>
        <v>0</v>
      </c>
      <c r="C68" s="7">
        <f t="shared" si="2"/>
        <v>0</v>
      </c>
      <c r="D68" s="7">
        <f t="shared" si="2"/>
        <v>0</v>
      </c>
      <c r="E68" s="7">
        <f t="shared" si="2"/>
        <v>0</v>
      </c>
      <c r="F68" s="7">
        <f t="shared" si="2"/>
        <v>0</v>
      </c>
      <c r="G68" s="7">
        <f t="shared" si="2"/>
        <v>0</v>
      </c>
    </row>
    <row r="69" spans="1:7" x14ac:dyDescent="0.45">
      <c r="A69" t="s">
        <v>17</v>
      </c>
      <c r="B69" s="7">
        <f t="shared" si="2"/>
        <v>0</v>
      </c>
      <c r="C69" s="7">
        <f t="shared" si="2"/>
        <v>0</v>
      </c>
      <c r="D69" s="7">
        <f t="shared" si="2"/>
        <v>0</v>
      </c>
      <c r="E69" s="7">
        <f t="shared" si="2"/>
        <v>0</v>
      </c>
      <c r="F69" s="7">
        <f t="shared" si="2"/>
        <v>0</v>
      </c>
      <c r="G69" s="7">
        <f t="shared" si="2"/>
        <v>0</v>
      </c>
    </row>
    <row r="70" spans="1:7" x14ac:dyDescent="0.45">
      <c r="A70" t="s">
        <v>18</v>
      </c>
      <c r="B70" s="7">
        <f t="shared" si="2"/>
        <v>0</v>
      </c>
      <c r="C70" s="7">
        <f t="shared" si="2"/>
        <v>0</v>
      </c>
      <c r="D70" s="7">
        <f t="shared" si="2"/>
        <v>0</v>
      </c>
      <c r="E70" s="7">
        <f t="shared" si="2"/>
        <v>0</v>
      </c>
      <c r="F70" s="7">
        <f t="shared" si="2"/>
        <v>0</v>
      </c>
      <c r="G70" s="7">
        <f t="shared" si="2"/>
        <v>0</v>
      </c>
    </row>
    <row r="71" spans="1:7" x14ac:dyDescent="0.45">
      <c r="A71" t="s">
        <v>19</v>
      </c>
      <c r="B71" s="7">
        <f t="shared" si="2"/>
        <v>0</v>
      </c>
      <c r="C71" s="7">
        <f t="shared" si="2"/>
        <v>0</v>
      </c>
      <c r="D71" s="7">
        <f t="shared" si="2"/>
        <v>0</v>
      </c>
      <c r="E71" s="7">
        <f t="shared" si="2"/>
        <v>0</v>
      </c>
      <c r="F71" s="7">
        <f t="shared" si="2"/>
        <v>0</v>
      </c>
      <c r="G71" s="7">
        <f t="shared" si="2"/>
        <v>0</v>
      </c>
    </row>
    <row r="72" spans="1:7" x14ac:dyDescent="0.45">
      <c r="A72" t="s">
        <v>20</v>
      </c>
      <c r="B72" s="7">
        <f t="shared" si="2"/>
        <v>0</v>
      </c>
      <c r="C72" s="7">
        <f t="shared" si="2"/>
        <v>0</v>
      </c>
      <c r="D72" s="7">
        <f t="shared" si="2"/>
        <v>0</v>
      </c>
      <c r="E72" s="7">
        <f t="shared" si="2"/>
        <v>0</v>
      </c>
      <c r="F72" s="7">
        <f t="shared" si="2"/>
        <v>0</v>
      </c>
      <c r="G72" s="7">
        <f t="shared" si="2"/>
        <v>0</v>
      </c>
    </row>
    <row r="74" spans="1:7" x14ac:dyDescent="0.45">
      <c r="A74" s="2" t="s">
        <v>33</v>
      </c>
    </row>
    <row r="75" spans="1:7" x14ac:dyDescent="0.45">
      <c r="A75" t="s">
        <v>34</v>
      </c>
      <c r="C75" s="9">
        <f>SUM($B$40:$G$45)*$C$8</f>
        <v>29440</v>
      </c>
    </row>
    <row r="76" spans="1:7" x14ac:dyDescent="0.45">
      <c r="A76" t="s">
        <v>35</v>
      </c>
      <c r="C76" s="9">
        <f>SUM($B$49:$G$54)*$C$9</f>
        <v>1520</v>
      </c>
    </row>
    <row r="77" spans="1:7" x14ac:dyDescent="0.45">
      <c r="A77" s="2" t="s">
        <v>36</v>
      </c>
      <c r="C77" s="10">
        <f>C75+C76</f>
        <v>30960</v>
      </c>
    </row>
    <row r="79" spans="1:7" x14ac:dyDescent="0.45">
      <c r="A79" t="s">
        <v>37</v>
      </c>
      <c r="C79" s="9">
        <v>42048</v>
      </c>
    </row>
    <row r="80" spans="1:7" x14ac:dyDescent="0.45">
      <c r="A80" s="2" t="s">
        <v>38</v>
      </c>
      <c r="C80" s="11">
        <f>1-C77/C79</f>
        <v>0.26369863013698636</v>
      </c>
    </row>
  </sheetData>
  <conditionalFormatting sqref="B67:G72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25" x14ac:dyDescent="0.45"/>
  <cols>
    <col min="1" max="1" width="16" customWidth="1"/>
    <col min="2" max="2" width="10" customWidth="1"/>
    <col min="3" max="4" width="7" customWidth="1"/>
    <col min="5" max="5" width="13" customWidth="1"/>
    <col min="6" max="6" width="20" customWidth="1"/>
    <col min="7" max="7" width="19" customWidth="1"/>
  </cols>
  <sheetData>
    <row r="1" spans="1:7" x14ac:dyDescent="0.4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 x14ac:dyDescent="0.45">
      <c r="A2" s="12">
        <v>42219</v>
      </c>
      <c r="B2" t="s">
        <v>9</v>
      </c>
      <c r="C2">
        <v>1</v>
      </c>
      <c r="D2">
        <v>1</v>
      </c>
      <c r="E2" t="s">
        <v>46</v>
      </c>
      <c r="F2">
        <v>8068</v>
      </c>
      <c r="G2">
        <v>831</v>
      </c>
    </row>
    <row r="3" spans="1:7" x14ac:dyDescent="0.45">
      <c r="A3" s="12">
        <v>42220</v>
      </c>
      <c r="B3" t="s">
        <v>10</v>
      </c>
      <c r="C3">
        <v>1</v>
      </c>
      <c r="D3">
        <v>1</v>
      </c>
      <c r="E3" t="s">
        <v>46</v>
      </c>
      <c r="F3">
        <v>6491</v>
      </c>
      <c r="G3">
        <v>720</v>
      </c>
    </row>
    <row r="4" spans="1:7" x14ac:dyDescent="0.45">
      <c r="A4" s="12">
        <v>42221</v>
      </c>
      <c r="B4" t="s">
        <v>11</v>
      </c>
      <c r="C4">
        <v>1</v>
      </c>
      <c r="D4">
        <v>1</v>
      </c>
      <c r="E4" t="s">
        <v>46</v>
      </c>
      <c r="F4">
        <v>5933</v>
      </c>
      <c r="G4">
        <v>687</v>
      </c>
    </row>
    <row r="5" spans="1:7" x14ac:dyDescent="0.45">
      <c r="A5" s="12">
        <v>42222</v>
      </c>
      <c r="B5" t="s">
        <v>12</v>
      </c>
      <c r="C5">
        <v>1</v>
      </c>
      <c r="D5">
        <v>1</v>
      </c>
      <c r="E5" t="s">
        <v>46</v>
      </c>
      <c r="F5">
        <v>5814</v>
      </c>
      <c r="G5">
        <v>691</v>
      </c>
    </row>
    <row r="6" spans="1:7" x14ac:dyDescent="0.45">
      <c r="A6" s="12">
        <v>42223</v>
      </c>
      <c r="B6" t="s">
        <v>13</v>
      </c>
      <c r="C6">
        <v>1</v>
      </c>
      <c r="D6">
        <v>1</v>
      </c>
      <c r="E6" t="s">
        <v>46</v>
      </c>
      <c r="F6">
        <v>5732</v>
      </c>
      <c r="G6">
        <v>694</v>
      </c>
    </row>
    <row r="7" spans="1:7" x14ac:dyDescent="0.45">
      <c r="A7" s="12">
        <v>42224</v>
      </c>
      <c r="B7" t="s">
        <v>14</v>
      </c>
      <c r="C7">
        <v>1</v>
      </c>
      <c r="D7">
        <v>0</v>
      </c>
      <c r="E7" t="s">
        <v>46</v>
      </c>
      <c r="F7">
        <v>4536</v>
      </c>
      <c r="G7">
        <v>524</v>
      </c>
    </row>
    <row r="8" spans="1:7" x14ac:dyDescent="0.45">
      <c r="A8" s="12">
        <v>42226</v>
      </c>
      <c r="B8" t="s">
        <v>9</v>
      </c>
      <c r="C8">
        <v>1</v>
      </c>
      <c r="D8">
        <v>0</v>
      </c>
      <c r="E8" t="s">
        <v>46</v>
      </c>
      <c r="F8">
        <v>5668</v>
      </c>
      <c r="G8">
        <v>710</v>
      </c>
    </row>
    <row r="9" spans="1:7" x14ac:dyDescent="0.45">
      <c r="A9" s="12">
        <v>42227</v>
      </c>
      <c r="B9" t="s">
        <v>10</v>
      </c>
      <c r="C9">
        <v>1</v>
      </c>
      <c r="D9">
        <v>0</v>
      </c>
      <c r="E9" t="s">
        <v>46</v>
      </c>
      <c r="F9">
        <v>5027</v>
      </c>
      <c r="G9">
        <v>651</v>
      </c>
    </row>
    <row r="10" spans="1:7" x14ac:dyDescent="0.45">
      <c r="A10" s="12">
        <v>42228</v>
      </c>
      <c r="B10" t="s">
        <v>11</v>
      </c>
      <c r="C10">
        <v>1</v>
      </c>
      <c r="D10">
        <v>0</v>
      </c>
      <c r="E10" t="s">
        <v>46</v>
      </c>
      <c r="F10">
        <v>4930</v>
      </c>
      <c r="G10">
        <v>633</v>
      </c>
    </row>
    <row r="11" spans="1:7" x14ac:dyDescent="0.45">
      <c r="A11" s="12">
        <v>42229</v>
      </c>
      <c r="B11" t="s">
        <v>12</v>
      </c>
      <c r="C11">
        <v>1</v>
      </c>
      <c r="D11">
        <v>0</v>
      </c>
      <c r="E11" t="s">
        <v>46</v>
      </c>
      <c r="F11">
        <v>5152</v>
      </c>
      <c r="G11">
        <v>644</v>
      </c>
    </row>
    <row r="12" spans="1:7" x14ac:dyDescent="0.45">
      <c r="A12" s="12">
        <v>42230</v>
      </c>
      <c r="B12" t="s">
        <v>13</v>
      </c>
      <c r="C12">
        <v>1</v>
      </c>
      <c r="D12">
        <v>0</v>
      </c>
      <c r="E12" t="s">
        <v>46</v>
      </c>
      <c r="F12">
        <v>5268</v>
      </c>
      <c r="G12">
        <v>646</v>
      </c>
    </row>
    <row r="13" spans="1:7" x14ac:dyDescent="0.45">
      <c r="A13" s="12">
        <v>42231</v>
      </c>
      <c r="B13" t="s">
        <v>14</v>
      </c>
      <c r="C13">
        <v>1</v>
      </c>
      <c r="D13">
        <v>0</v>
      </c>
      <c r="E13" t="s">
        <v>46</v>
      </c>
      <c r="F13">
        <v>4622</v>
      </c>
      <c r="G13">
        <v>519</v>
      </c>
    </row>
    <row r="14" spans="1:7" x14ac:dyDescent="0.45">
      <c r="A14" s="12">
        <v>42233</v>
      </c>
      <c r="B14" t="s">
        <v>9</v>
      </c>
      <c r="C14">
        <v>1</v>
      </c>
      <c r="D14">
        <v>1</v>
      </c>
      <c r="E14" t="s">
        <v>46</v>
      </c>
      <c r="F14">
        <v>7655</v>
      </c>
      <c r="G14">
        <v>843</v>
      </c>
    </row>
    <row r="15" spans="1:7" x14ac:dyDescent="0.45">
      <c r="A15" s="12">
        <v>42234</v>
      </c>
      <c r="B15" t="s">
        <v>10</v>
      </c>
      <c r="C15">
        <v>1</v>
      </c>
      <c r="D15">
        <v>1</v>
      </c>
      <c r="E15" t="s">
        <v>46</v>
      </c>
      <c r="F15">
        <v>6320</v>
      </c>
      <c r="G15">
        <v>737</v>
      </c>
    </row>
    <row r="16" spans="1:7" x14ac:dyDescent="0.45">
      <c r="A16" s="12">
        <v>42235</v>
      </c>
      <c r="B16" t="s">
        <v>11</v>
      </c>
      <c r="C16">
        <v>1</v>
      </c>
      <c r="D16">
        <v>1</v>
      </c>
      <c r="E16" t="s">
        <v>46</v>
      </c>
      <c r="F16">
        <v>5818</v>
      </c>
      <c r="G16">
        <v>689</v>
      </c>
    </row>
    <row r="17" spans="1:7" x14ac:dyDescent="0.45">
      <c r="A17" s="12">
        <v>42236</v>
      </c>
      <c r="B17" t="s">
        <v>12</v>
      </c>
      <c r="C17">
        <v>1</v>
      </c>
      <c r="D17">
        <v>1</v>
      </c>
      <c r="E17" t="s">
        <v>46</v>
      </c>
      <c r="F17">
        <v>5653</v>
      </c>
      <c r="G17">
        <v>687</v>
      </c>
    </row>
    <row r="18" spans="1:7" x14ac:dyDescent="0.45">
      <c r="A18" s="12">
        <v>42237</v>
      </c>
      <c r="B18" t="s">
        <v>13</v>
      </c>
      <c r="C18">
        <v>1</v>
      </c>
      <c r="D18">
        <v>1</v>
      </c>
      <c r="E18" t="s">
        <v>46</v>
      </c>
      <c r="F18">
        <v>5639</v>
      </c>
      <c r="G18">
        <v>690</v>
      </c>
    </row>
    <row r="19" spans="1:7" x14ac:dyDescent="0.45">
      <c r="A19" s="12">
        <v>42238</v>
      </c>
      <c r="B19" t="s">
        <v>14</v>
      </c>
      <c r="C19">
        <v>1</v>
      </c>
      <c r="D19">
        <v>0</v>
      </c>
      <c r="E19" t="s">
        <v>46</v>
      </c>
      <c r="F19">
        <v>4275</v>
      </c>
      <c r="G19">
        <v>524</v>
      </c>
    </row>
    <row r="20" spans="1:7" x14ac:dyDescent="0.45">
      <c r="A20" s="12">
        <v>42240</v>
      </c>
      <c r="B20" t="s">
        <v>9</v>
      </c>
      <c r="C20">
        <v>1</v>
      </c>
      <c r="D20">
        <v>0</v>
      </c>
      <c r="E20" t="s">
        <v>46</v>
      </c>
      <c r="F20">
        <v>5224</v>
      </c>
      <c r="G20">
        <v>663</v>
      </c>
    </row>
    <row r="21" spans="1:7" x14ac:dyDescent="0.45">
      <c r="A21" s="12">
        <v>42241</v>
      </c>
      <c r="B21" t="s">
        <v>10</v>
      </c>
      <c r="C21">
        <v>1</v>
      </c>
      <c r="D21">
        <v>0</v>
      </c>
      <c r="E21" t="s">
        <v>46</v>
      </c>
      <c r="F21">
        <v>4788</v>
      </c>
      <c r="G21">
        <v>627</v>
      </c>
    </row>
    <row r="22" spans="1:7" x14ac:dyDescent="0.45">
      <c r="A22" s="12">
        <v>42242</v>
      </c>
      <c r="B22" t="s">
        <v>11</v>
      </c>
      <c r="C22">
        <v>1</v>
      </c>
      <c r="D22">
        <v>0</v>
      </c>
      <c r="E22" t="s">
        <v>46</v>
      </c>
      <c r="F22">
        <v>4895</v>
      </c>
      <c r="G22">
        <v>611</v>
      </c>
    </row>
    <row r="23" spans="1:7" x14ac:dyDescent="0.45">
      <c r="A23" s="12">
        <v>42243</v>
      </c>
      <c r="B23" t="s">
        <v>12</v>
      </c>
      <c r="C23">
        <v>1</v>
      </c>
      <c r="D23">
        <v>0</v>
      </c>
      <c r="E23" t="s">
        <v>46</v>
      </c>
      <c r="F23">
        <v>5008</v>
      </c>
      <c r="G23">
        <v>621</v>
      </c>
    </row>
    <row r="24" spans="1:7" x14ac:dyDescent="0.45">
      <c r="A24" s="12">
        <v>42244</v>
      </c>
      <c r="B24" t="s">
        <v>13</v>
      </c>
      <c r="C24">
        <v>1</v>
      </c>
      <c r="D24">
        <v>0</v>
      </c>
      <c r="E24" t="s">
        <v>46</v>
      </c>
      <c r="F24">
        <v>5591</v>
      </c>
      <c r="G24">
        <v>664</v>
      </c>
    </row>
    <row r="25" spans="1:7" x14ac:dyDescent="0.45">
      <c r="A25" s="12">
        <v>42245</v>
      </c>
      <c r="B25" t="s">
        <v>14</v>
      </c>
      <c r="C25">
        <v>1</v>
      </c>
      <c r="D25">
        <v>0</v>
      </c>
      <c r="E25" t="s">
        <v>46</v>
      </c>
      <c r="F25">
        <v>4837</v>
      </c>
      <c r="G25">
        <v>554</v>
      </c>
    </row>
    <row r="26" spans="1:7" x14ac:dyDescent="0.45">
      <c r="A26" s="12">
        <v>42247</v>
      </c>
      <c r="B26" t="s">
        <v>9</v>
      </c>
      <c r="C26">
        <v>1</v>
      </c>
      <c r="D26">
        <v>1</v>
      </c>
      <c r="E26" t="s">
        <v>46</v>
      </c>
      <c r="F26">
        <v>9150</v>
      </c>
      <c r="G26">
        <v>937</v>
      </c>
    </row>
    <row r="27" spans="1:7" x14ac:dyDescent="0.45">
      <c r="A27" s="12">
        <v>42248</v>
      </c>
      <c r="B27" t="s">
        <v>10</v>
      </c>
      <c r="C27">
        <v>1</v>
      </c>
      <c r="D27">
        <v>1</v>
      </c>
      <c r="E27" t="s">
        <v>46</v>
      </c>
      <c r="F27">
        <v>7471</v>
      </c>
      <c r="G27">
        <v>829</v>
      </c>
    </row>
    <row r="28" spans="1:7" x14ac:dyDescent="0.45">
      <c r="A28" s="12">
        <v>42249</v>
      </c>
      <c r="B28" t="s">
        <v>11</v>
      </c>
      <c r="C28">
        <v>1</v>
      </c>
      <c r="D28">
        <v>1</v>
      </c>
      <c r="E28" t="s">
        <v>46</v>
      </c>
      <c r="F28">
        <v>7029</v>
      </c>
      <c r="G28">
        <v>771</v>
      </c>
    </row>
    <row r="29" spans="1:7" x14ac:dyDescent="0.45">
      <c r="A29" s="12">
        <v>42250</v>
      </c>
      <c r="B29" t="s">
        <v>12</v>
      </c>
      <c r="C29">
        <v>1</v>
      </c>
      <c r="D29">
        <v>1</v>
      </c>
      <c r="E29" t="s">
        <v>46</v>
      </c>
      <c r="F29">
        <v>6378</v>
      </c>
      <c r="G29">
        <v>746</v>
      </c>
    </row>
    <row r="30" spans="1:7" x14ac:dyDescent="0.45">
      <c r="A30" s="12">
        <v>42251</v>
      </c>
      <c r="B30" t="s">
        <v>13</v>
      </c>
      <c r="C30">
        <v>1</v>
      </c>
      <c r="D30">
        <v>1</v>
      </c>
      <c r="E30" t="s">
        <v>46</v>
      </c>
      <c r="F30">
        <v>6166</v>
      </c>
      <c r="G30">
        <v>750</v>
      </c>
    </row>
    <row r="31" spans="1:7" x14ac:dyDescent="0.45">
      <c r="A31" s="12">
        <v>42252</v>
      </c>
      <c r="B31" t="s">
        <v>14</v>
      </c>
      <c r="C31">
        <v>1</v>
      </c>
      <c r="D31">
        <v>0</v>
      </c>
      <c r="E31" t="s">
        <v>46</v>
      </c>
      <c r="F31">
        <v>4522</v>
      </c>
      <c r="G31">
        <v>530</v>
      </c>
    </row>
    <row r="32" spans="1:7" x14ac:dyDescent="0.45">
      <c r="A32" s="12">
        <v>42254</v>
      </c>
      <c r="B32" t="s">
        <v>9</v>
      </c>
      <c r="C32">
        <v>1</v>
      </c>
      <c r="D32">
        <v>0</v>
      </c>
      <c r="E32" t="s">
        <v>46</v>
      </c>
      <c r="F32">
        <v>5968</v>
      </c>
      <c r="G32">
        <v>761</v>
      </c>
    </row>
    <row r="33" spans="1:7" x14ac:dyDescent="0.45">
      <c r="A33" s="12">
        <v>42255</v>
      </c>
      <c r="B33" t="s">
        <v>10</v>
      </c>
      <c r="C33">
        <v>1</v>
      </c>
      <c r="D33">
        <v>0</v>
      </c>
      <c r="E33" t="s">
        <v>46</v>
      </c>
      <c r="F33">
        <v>5395</v>
      </c>
      <c r="G33">
        <v>698</v>
      </c>
    </row>
    <row r="34" spans="1:7" x14ac:dyDescent="0.45">
      <c r="A34" s="12">
        <v>42256</v>
      </c>
      <c r="B34" t="s">
        <v>11</v>
      </c>
      <c r="C34">
        <v>1</v>
      </c>
      <c r="D34">
        <v>0</v>
      </c>
      <c r="E34" t="s">
        <v>46</v>
      </c>
      <c r="F34">
        <v>5335</v>
      </c>
      <c r="G34">
        <v>673</v>
      </c>
    </row>
    <row r="35" spans="1:7" x14ac:dyDescent="0.45">
      <c r="A35" s="12">
        <v>42257</v>
      </c>
      <c r="B35" t="s">
        <v>12</v>
      </c>
      <c r="C35">
        <v>1</v>
      </c>
      <c r="D35">
        <v>0</v>
      </c>
      <c r="E35" t="s">
        <v>46</v>
      </c>
      <c r="F35">
        <v>5276</v>
      </c>
      <c r="G35">
        <v>680</v>
      </c>
    </row>
    <row r="36" spans="1:7" x14ac:dyDescent="0.45">
      <c r="A36" s="12">
        <v>42258</v>
      </c>
      <c r="B36" t="s">
        <v>13</v>
      </c>
      <c r="C36">
        <v>1</v>
      </c>
      <c r="D36">
        <v>0</v>
      </c>
      <c r="E36" t="s">
        <v>46</v>
      </c>
      <c r="F36">
        <v>5311</v>
      </c>
      <c r="G36">
        <v>675</v>
      </c>
    </row>
    <row r="37" spans="1:7" x14ac:dyDescent="0.45">
      <c r="A37" s="12">
        <v>42259</v>
      </c>
      <c r="B37" t="s">
        <v>14</v>
      </c>
      <c r="C37">
        <v>1</v>
      </c>
      <c r="D37">
        <v>0</v>
      </c>
      <c r="E37" t="s">
        <v>46</v>
      </c>
      <c r="F37">
        <v>4400</v>
      </c>
      <c r="G37">
        <v>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RowHeight="14.25" x14ac:dyDescent="0.45"/>
  <cols>
    <col min="1" max="1" width="120" customWidth="1"/>
  </cols>
  <sheetData>
    <row r="1" spans="1:1" ht="18" x14ac:dyDescent="0.55000000000000004">
      <c r="A1" s="1" t="s">
        <v>47</v>
      </c>
    </row>
    <row r="3" spans="1:1" x14ac:dyDescent="0.45">
      <c r="A3" t="s">
        <v>48</v>
      </c>
    </row>
    <row r="4" spans="1:1" x14ac:dyDescent="0.45">
      <c r="A4" t="s">
        <v>49</v>
      </c>
    </row>
    <row r="5" spans="1:1" x14ac:dyDescent="0.45">
      <c r="A5" t="s">
        <v>50</v>
      </c>
    </row>
    <row r="6" spans="1:1" x14ac:dyDescent="0.45">
      <c r="A6" t="s">
        <v>51</v>
      </c>
    </row>
    <row r="7" spans="1:1" x14ac:dyDescent="0.45">
      <c r="A7" t="s">
        <v>52</v>
      </c>
    </row>
    <row r="9" spans="1:1" x14ac:dyDescent="0.45">
      <c r="A9" t="s">
        <v>53</v>
      </c>
    </row>
    <row r="10" spans="1:1" x14ac:dyDescent="0.45">
      <c r="A10" t="s">
        <v>54</v>
      </c>
    </row>
    <row r="11" spans="1:1" x14ac:dyDescent="0.45">
      <c r="A11" t="s">
        <v>55</v>
      </c>
    </row>
    <row r="12" spans="1:1" x14ac:dyDescent="0.45">
      <c r="A12" t="s">
        <v>56</v>
      </c>
    </row>
    <row r="13" spans="1:1" x14ac:dyDescent="0.45">
      <c r="A13" t="s">
        <v>57</v>
      </c>
    </row>
    <row r="14" spans="1:1" x14ac:dyDescent="0.45">
      <c r="A14" t="s">
        <v>58</v>
      </c>
    </row>
    <row r="15" spans="1:1" x14ac:dyDescent="0.45">
      <c r="A15" t="s">
        <v>59</v>
      </c>
    </row>
    <row r="17" spans="1:1" x14ac:dyDescent="0.45">
      <c r="A17" t="s">
        <v>60</v>
      </c>
    </row>
    <row r="18" spans="1:1" x14ac:dyDescent="0.45">
      <c r="A18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Staffing Plan</vt:lpstr>
      <vt:lpstr>Forecast Detail</vt:lpstr>
      <vt:lpstr>How It 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Furqan</cp:lastModifiedBy>
  <dcterms:created xsi:type="dcterms:W3CDTF">2026-10-27T16:07:07Z</dcterms:created>
  <dcterms:modified xsi:type="dcterms:W3CDTF">2026-10-27T16:07:14Z</dcterms:modified>
</cp:coreProperties>
</file>